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635" windowHeight="7620" tabRatio="500"/>
  </bookViews>
  <sheets>
    <sheet name="Risk Register"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<sst xmlns="http://schemas.openxmlformats.org/spreadsheetml/2006/main" count="146" uniqueCount="115">
  <si>
    <t>ValNova Technologies  |  Risk Register</t>
  </si>
  <si>
    <t>Owner: Valentine John Ogoshi, GRC Manager      Last reviewed: August 6, 2026      Review cycle: Quarterly</t>
  </si>
  <si>
    <t>INHERENT RISK  (before treatment)</t>
  </si>
  <si>
    <t>RESIDUAL RISK  (after treatment)</t>
  </si>
  <si>
    <t>Risk ID</t>
  </si>
  <si>
    <t>Risk / Exposure</t>
  </si>
  <si>
    <t>Category</t>
  </si>
  <si>
    <t>Related standard</t>
  </si>
  <si>
    <t>Response</t>
  </si>
  <si>
    <t>L</t>
  </si>
  <si>
    <t>I</t>
  </si>
  <si>
    <t>Score</t>
  </si>
  <si>
    <t>Level</t>
  </si>
  <si>
    <t>Existing controls</t>
  </si>
  <si>
    <t>Treatment / mitigation</t>
  </si>
  <si>
    <t>Owner</t>
  </si>
  <si>
    <t>Status</t>
  </si>
  <si>
    <t>Target</t>
  </si>
  <si>
    <t>R-01</t>
  </si>
  <si>
    <t>Multi-factor authentication is not enforced across all access into the cardholder data environment.</t>
  </si>
  <si>
    <t>Access control</t>
  </si>
  <si>
    <t>PCI DSS v4.0.1 Req 8.4.2</t>
  </si>
  <si>
    <t>Treat</t>
  </si>
  <si>
    <t>MFA enforced for remote admin access only.</t>
  </si>
  <si>
    <t>Enforce MFA on all human and service-account access to the CDE, using phishing-resistant factors where supported.</t>
  </si>
  <si>
    <t>GRC Manager / IT</t>
  </si>
  <si>
    <t>In progress</t>
  </si>
  <si>
    <t>30 days</t>
  </si>
  <si>
    <t>R-02</t>
  </si>
  <si>
    <t>Nigerian personal data is moved to foreign-hosted platforms without an approved cross-border transfer instrument.</t>
  </si>
  <si>
    <t>Data privacy</t>
  </si>
  <si>
    <t>NDPA 2023 / GAID 2025</t>
  </si>
  <si>
    <t>Vendor contracts in place, but no NDPA transfer clauses.</t>
  </si>
  <si>
    <t>Execute NDPA-compliant DPAs with standard contractual clauses for every foreign-hosted vendor before further data flows.</t>
  </si>
  <si>
    <t>GRC Manager / Legal</t>
  </si>
  <si>
    <t>Open</t>
  </si>
  <si>
    <t>45 days</t>
  </si>
  <si>
    <t>R-03</t>
  </si>
  <si>
    <t>ValNova is not registered with the NDPC as a data controller of major importance, and the annual audit return is outstanding.</t>
  </si>
  <si>
    <t>Regulatory filing</t>
  </si>
  <si>
    <t>None in place.</t>
  </si>
  <si>
    <t>Complete NDPC registration and engage a licensed DPCO to prepare and file the annual audit return.</t>
  </si>
  <si>
    <t>60 days</t>
  </si>
  <si>
    <t>R-04</t>
  </si>
  <si>
    <t>Privileged access is reviewed only on an ad hoc basis, allowing standing access to accumulate.</t>
  </si>
  <si>
    <t>ISO/IEC 27001:2022 A.5.18</t>
  </si>
  <si>
    <t>Access granted appropriately at onboarding.</t>
  </si>
  <si>
    <t>Stand up a quarterly privileged-access review with documented sign-off, retained as evidence.</t>
  </si>
  <si>
    <t>R-05</t>
  </si>
  <si>
    <t>The information security policy set is incomplete and not formally approved.</t>
  </si>
  <si>
    <t>Governance</t>
  </si>
  <si>
    <t>ISO/IEC 27001:2022 Cl. 5.2</t>
  </si>
  <si>
    <t>Some policies exist in draft.</t>
  </si>
  <si>
    <t>Complete, approve, and publish the core policy set, with an owner and annual review date for each.</t>
  </si>
  <si>
    <t>GRC Manager / Exec Sponsor</t>
  </si>
  <si>
    <t>R-06</t>
  </si>
  <si>
    <t>Critical third-party integrations are onboarded without a formal security risk assessment.</t>
  </si>
  <si>
    <t>Third-party risk</t>
  </si>
  <si>
    <t>ISO/IEC 27001:2022 A.5.19</t>
  </si>
  <si>
    <t>Commercial due diligence only.</t>
  </si>
  <si>
    <t>Introduce a standard vendor security assessment at onboarding and on a recurring cycle; record residual risk per partner.</t>
  </si>
  <si>
    <t>GRC Manager</t>
  </si>
  <si>
    <t>90 days</t>
  </si>
  <si>
    <t>R-07</t>
  </si>
  <si>
    <t>Audit logging and monitoring coverage is incomplete across production systems.</t>
  </si>
  <si>
    <t>Logging &amp; monitoring</t>
  </si>
  <si>
    <t>PCI DSS v4.0.1 Req 10; SOC 2 CC7.2</t>
  </si>
  <si>
    <t>Logging enabled on some systems, no central aggregation.</t>
  </si>
  <si>
    <t>Extend logging to all in-scope systems, aggregate centrally, and configure alerting with assigned response ownership.</t>
  </si>
  <si>
    <t>IT / Engineering</t>
  </si>
  <si>
    <t>R-08</t>
  </si>
  <si>
    <t>Security awareness training is not delivered on a scheduled, tracked basis.</t>
  </si>
  <si>
    <t>People</t>
  </si>
  <si>
    <t>PCI DSS v4.0.1 Req 12.6; ISO A.6.3</t>
  </si>
  <si>
    <t>Informal coverage at onboarding.</t>
  </si>
  <si>
    <t>Roll out a scheduled awareness programme with tracked completion and role-specific content.</t>
  </si>
  <si>
    <t>GRC Manager / People Ops</t>
  </si>
  <si>
    <t>R-09</t>
  </si>
  <si>
    <t>A payment or personal-data breach leads to regulatory penalties and loss of partner trust.</t>
  </si>
  <si>
    <t>Information security</t>
  </si>
  <si>
    <t>NDPA 2023; PCI DSS v4.0.1</t>
  </si>
  <si>
    <t>Transfer</t>
  </si>
  <si>
    <t>Partial technical controls; incident response not formalised.</t>
  </si>
  <si>
    <t>Close R-01 to R-07, formalise and test an incident response plan, and take out cyber-liability insurance to transfer residual financial exposure.</t>
  </si>
  <si>
    <t>Ongoing</t>
  </si>
  <si>
    <t>R-10</t>
  </si>
  <si>
    <t>Rapid customer growth outpaces the compliance function, leaving new systems unassessed.</t>
  </si>
  <si>
    <t>Operational</t>
  </si>
  <si>
    <t>ISO/IEC 27001:2022</t>
  </si>
  <si>
    <t>Single GRC Manager; manual processes.</t>
  </si>
  <si>
    <t>Adopt a compliance-automation platform to keep evidence, access reviews, and vendor monitoring continuous as ValNova scales.</t>
  </si>
  <si>
    <t>How to use this register</t>
  </si>
  <si>
    <t>Score = Likelihood x Impact, each rated 1 (very low) to 5 (very high). The Score and Level columns calculate automatically for both inherent and residual risk.</t>
  </si>
  <si>
    <t>Inherent risk is the exposure before treatment. Residual risk is where we expect it to sit once the treatment is fully in place. The gap between the two shows what the mitigation buys us.</t>
  </si>
  <si>
    <t>Level: High = 15 and above (act first), Medium = 8 to 14 (close within the quarter), Low = below 8. Response: Treat (reduce it), Tolerate (accept it), Transfer (insure or contract it out), Terminate (stop the activity).</t>
  </si>
  <si>
    <t>Status tracks progress each quarter: Open, In progress, or Closed. To add a risk, copy the last row, give it the next Risk ID, and fill only the four rating cells (inherent L/I and residual L/I); the scores and levels update on their own.</t>
  </si>
  <si>
    <t>R-01 to R-08 map directly to the findings in the Internal Compliance Gap Assessment. R-09 and R-10 are forward-looking risks tracked at ValNova's current stage.</t>
  </si>
  <si>
    <t>Rating</t>
  </si>
  <si>
    <t>Likelihood means</t>
  </si>
  <si>
    <t>Impact means</t>
  </si>
  <si>
    <t>5</t>
  </si>
  <si>
    <t>Almost certain to occur</t>
  </si>
  <si>
    <t>Severe: breach, penalty, or lost certification</t>
  </si>
  <si>
    <t>4</t>
  </si>
  <si>
    <t>Likely</t>
  </si>
  <si>
    <t>Major: significant regulatory or operational harm</t>
  </si>
  <si>
    <t>3</t>
  </si>
  <si>
    <t>Possible</t>
  </si>
  <si>
    <t>Moderate: contained but real business impact</t>
  </si>
  <si>
    <t>2</t>
  </si>
  <si>
    <t>Unlikely</t>
  </si>
  <si>
    <t>Minor: limited, recoverable impact</t>
  </si>
  <si>
    <t>1</t>
  </si>
  <si>
    <t>Rare</t>
  </si>
  <si>
    <t>Negligible: little practical effect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</si>
</sst>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_(* \(#,##0\);_(* &quot;-&quot;_);_(@_)"/>
    <numFmt numFmtId="42" formatCode="_(&quot;$&quot;* #,##0_);_(&quot;$&quot;* \(#,##0\);_(&quot;$&quot;* &quot;-&quot;_);_(@_)"/>
    <numFmt numFmtId="43" formatCode="_(* #,##0.00_);_(* \(#,##0.00\);_(* &quot;-&quot;??_);_(@_)"/>
    <numFmt numFmtId="44" formatCode="_(&quot;$&quot;* #,##0.00_);_(&quot;$&quot;* \(#,##0.00\);_(&quot;$&quot;* &quot;-&quot;??_);_(@_)"/>
  </numFmts>
  <fonts count="36">
    <font>
      <sz val="11"/>
      <color theme="1"/>
      <name val="Calibri"/>
      <charset val="1"/>
    </font>
    <font>
      <b/>
      <sz val="14"/>
      <color rgb="FFFFFFFF"/>
      <name val="Arial"/>
      <charset val="1"/>
    </font>
    <font>
      <sz val="9"/>
      <color rgb="FF222222"/>
      <name val="Arial"/>
      <charset val="1"/>
    </font>
    <font>
      <sz val="10"/>
      <color rgb="FF222222"/>
      <name val="Calibri"/>
      <charset val="1"/>
    </font>
    <font>
      <b/>
      <sz val="9"/>
      <color rgb="FFFFFFFF"/>
      <name val="Calibri"/>
      <charset val="1"/>
    </font>
    <font>
      <b/>
      <sz val="10"/>
      <color rgb="FF0A2F5F"/>
      <name val="Calibri"/>
      <charset val="1"/>
    </font>
    <font>
      <sz val="9"/>
      <color rgb="FF222222"/>
      <name val="Calibri"/>
      <charset val="1"/>
    </font>
    <font>
      <sz val="8"/>
      <color rgb="FF222222"/>
      <name val="Calibri"/>
      <charset val="1"/>
    </font>
    <font>
      <b/>
      <sz val="10"/>
      <color rgb="FF222222"/>
      <name val="Calibri"/>
      <charset val="1"/>
    </font>
    <font>
      <b/>
      <sz val="11"/>
      <color rgb="FF0A2F5F"/>
      <name val="Arial"/>
      <charset val="1"/>
    </font>
    <font>
      <b/>
      <sz val="9"/>
      <color rgb="FFFFFFFF"/>
      <name val="Arial"/>
      <charset val="1"/>
    </font>
    <font>
      <b/>
      <sz val="9"/>
      <color rgb="FF222222"/>
      <name val="Arial"/>
      <charset val="1"/>
    </font>
    <font>
      <b/>
      <sz val="9"/>
      <color rgb="FFB00020"/>
      <name val="Calibri"/>
      <charset val="1"/>
    </font>
    <font>
      <b/>
      <sz val="9"/>
      <color rgb="FF1E7A46"/>
      <name val="Calibri"/>
      <charset val="1"/>
    </font>
    <font>
      <b/>
      <sz val="9"/>
      <color rgb="FFB26A00"/>
      <name val="Calibri"/>
      <charset val="1"/>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4">
    <fill>
      <patternFill patternType="none"/>
    </fill>
    <fill>
      <patternFill patternType="gray125"/>
    </fill>
    <fill>
      <patternFill patternType="solid">
        <fgColor theme="1"/>
        <bgColor rgb="FF163E6E"/>
      </patternFill>
    </fill>
    <fill>
      <patternFill patternType="solid">
        <fgColor rgb="FFE9F5F0"/>
        <bgColor rgb="FFEFF7F3"/>
      </patternFill>
    </fill>
    <fill>
      <patternFill patternType="solid">
        <fgColor theme="1"/>
        <bgColor rgb="FF0A2F5F"/>
      </patternFill>
    </fill>
    <fill>
      <patternFill patternType="solid">
        <fgColor rgb="FFF4F8F6"/>
        <bgColor rgb="FFF6FBF9"/>
      </patternFill>
    </fill>
    <fill>
      <patternFill patternType="solid">
        <fgColor rgb="FF0A2F5F"/>
        <bgColor rgb="FF163E6E"/>
      </patternFill>
    </fill>
    <fill>
      <patternFill patternType="solid">
        <fgColor rgb="FF108B66"/>
        <bgColor rgb="FF1E7A46"/>
      </patternFill>
    </fill>
    <fill>
      <patternFill patternType="solid">
        <fgColor rgb="FFFBE3E6"/>
        <bgColor rgb="FFFBEFE0"/>
      </patternFill>
    </fill>
    <fill>
      <patternFill patternType="solid">
        <fgColor rgb="FFEFF7F3"/>
        <bgColor rgb="FFF4F8F6"/>
      </patternFill>
    </fill>
    <fill>
      <patternFill patternType="solid">
        <fgColor rgb="FFE3F2E9"/>
        <bgColor rgb="FFE9F5F0"/>
      </patternFill>
    </fill>
    <fill>
      <patternFill patternType="solid">
        <fgColor rgb="FFF6FBF9"/>
        <bgColor rgb="FFF4F8F6"/>
      </patternFill>
    </fill>
    <fill>
      <patternFill patternType="solid">
        <fgColor rgb="FFFBEFE0"/>
        <bgColor rgb="FFFBE3E6"/>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5" fillId="0" borderId="0" applyBorder="0" applyAlignment="0" applyProtection="0"/>
    <xf numFmtId="44" fontId="15" fillId="0" borderId="0" applyBorder="0" applyAlignment="0" applyProtection="0"/>
    <xf numFmtId="9" fontId="15" fillId="0" borderId="0" applyBorder="0" applyAlignment="0" applyProtection="0"/>
    <xf numFmtId="41" fontId="15" fillId="0" borderId="0" applyBorder="0" applyAlignment="0" applyProtection="0"/>
    <xf numFmtId="42" fontId="15" fillId="0" borderId="0" applyBorder="0" applyAlignment="0" applyProtection="0"/>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13" borderId="3"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4" applyNumberFormat="0" applyFill="0" applyAlignment="0" applyProtection="0">
      <alignment vertical="center"/>
    </xf>
    <xf numFmtId="0" fontId="23" fillId="0" borderId="4" applyNumberFormat="0" applyFill="0" applyAlignment="0" applyProtection="0">
      <alignment vertical="center"/>
    </xf>
    <xf numFmtId="0" fontId="24" fillId="0" borderId="5" applyNumberFormat="0" applyFill="0" applyAlignment="0" applyProtection="0">
      <alignment vertical="center"/>
    </xf>
    <xf numFmtId="0" fontId="24" fillId="0" borderId="0" applyNumberFormat="0" applyFill="0" applyBorder="0" applyAlignment="0" applyProtection="0">
      <alignment vertical="center"/>
    </xf>
    <xf numFmtId="0" fontId="25" fillId="14" borderId="6" applyNumberFormat="0" applyAlignment="0" applyProtection="0">
      <alignment vertical="center"/>
    </xf>
    <xf numFmtId="0" fontId="26" fillId="15" borderId="7" applyNumberFormat="0" applyAlignment="0" applyProtection="0">
      <alignment vertical="center"/>
    </xf>
    <xf numFmtId="0" fontId="27" fillId="15" borderId="6" applyNumberFormat="0" applyAlignment="0" applyProtection="0">
      <alignment vertical="center"/>
    </xf>
    <xf numFmtId="0" fontId="28" fillId="16" borderId="8" applyNumberFormat="0" applyAlignment="0" applyProtection="0">
      <alignment vertical="center"/>
    </xf>
    <xf numFmtId="0" fontId="29" fillId="0" borderId="9" applyNumberFormat="0" applyFill="0" applyAlignment="0" applyProtection="0">
      <alignment vertical="center"/>
    </xf>
    <xf numFmtId="0" fontId="30" fillId="0" borderId="10" applyNumberFormat="0" applyFill="0" applyAlignment="0" applyProtection="0">
      <alignment vertical="center"/>
    </xf>
    <xf numFmtId="0" fontId="31" fillId="17" borderId="0" applyNumberFormat="0" applyBorder="0" applyAlignment="0" applyProtection="0">
      <alignment vertical="center"/>
    </xf>
    <xf numFmtId="0" fontId="32" fillId="18" borderId="0" applyNumberFormat="0" applyBorder="0" applyAlignment="0" applyProtection="0">
      <alignment vertical="center"/>
    </xf>
    <xf numFmtId="0" fontId="33" fillId="19" borderId="0" applyNumberFormat="0" applyBorder="0" applyAlignment="0" applyProtection="0">
      <alignment vertical="center"/>
    </xf>
    <xf numFmtId="0" fontId="34" fillId="20" borderId="0" applyNumberFormat="0" applyBorder="0" applyAlignment="0" applyProtection="0">
      <alignment vertical="center"/>
    </xf>
    <xf numFmtId="0" fontId="35" fillId="21" borderId="0" applyNumberFormat="0" applyBorder="0" applyAlignment="0" applyProtection="0">
      <alignment vertical="center"/>
    </xf>
    <xf numFmtId="0" fontId="35" fillId="22" borderId="0" applyNumberFormat="0" applyBorder="0" applyAlignment="0" applyProtection="0">
      <alignment vertical="center"/>
    </xf>
    <xf numFmtId="0" fontId="34" fillId="23" borderId="0" applyNumberFormat="0" applyBorder="0" applyAlignment="0" applyProtection="0">
      <alignment vertical="center"/>
    </xf>
    <xf numFmtId="0" fontId="34" fillId="24" borderId="0" applyNumberFormat="0" applyBorder="0" applyAlignment="0" applyProtection="0">
      <alignment vertical="center"/>
    </xf>
    <xf numFmtId="0" fontId="35" fillId="25" borderId="0" applyNumberFormat="0" applyBorder="0" applyAlignment="0" applyProtection="0">
      <alignment vertical="center"/>
    </xf>
    <xf numFmtId="0" fontId="35" fillId="26" borderId="0" applyNumberFormat="0" applyBorder="0" applyAlignment="0" applyProtection="0">
      <alignment vertical="center"/>
    </xf>
    <xf numFmtId="0" fontId="34" fillId="27" borderId="0" applyNumberFormat="0" applyBorder="0" applyAlignment="0" applyProtection="0">
      <alignment vertical="center"/>
    </xf>
    <xf numFmtId="0" fontId="34" fillId="28" borderId="0" applyNumberFormat="0" applyBorder="0" applyAlignment="0" applyProtection="0">
      <alignment vertical="center"/>
    </xf>
    <xf numFmtId="0" fontId="35" fillId="29" borderId="0" applyNumberFormat="0" applyBorder="0" applyAlignment="0" applyProtection="0">
      <alignment vertical="center"/>
    </xf>
    <xf numFmtId="0" fontId="35" fillId="30" borderId="0" applyNumberFormat="0" applyBorder="0" applyAlignment="0" applyProtection="0">
      <alignment vertical="center"/>
    </xf>
    <xf numFmtId="0" fontId="34" fillId="31" borderId="0" applyNumberFormat="0" applyBorder="0" applyAlignment="0" applyProtection="0">
      <alignment vertical="center"/>
    </xf>
    <xf numFmtId="0" fontId="34" fillId="32" borderId="0" applyNumberFormat="0" applyBorder="0" applyAlignment="0" applyProtection="0">
      <alignment vertical="center"/>
    </xf>
    <xf numFmtId="0" fontId="35" fillId="33" borderId="0" applyNumberFormat="0" applyBorder="0" applyAlignment="0" applyProtection="0">
      <alignment vertical="center"/>
    </xf>
    <xf numFmtId="0" fontId="35" fillId="34" borderId="0" applyNumberFormat="0" applyBorder="0" applyAlignment="0" applyProtection="0">
      <alignment vertical="center"/>
    </xf>
    <xf numFmtId="0" fontId="34" fillId="35" borderId="0" applyNumberFormat="0" applyBorder="0" applyAlignment="0" applyProtection="0">
      <alignment vertical="center"/>
    </xf>
    <xf numFmtId="0" fontId="34" fillId="36" borderId="0" applyNumberFormat="0" applyBorder="0" applyAlignment="0" applyProtection="0">
      <alignment vertical="center"/>
    </xf>
    <xf numFmtId="0" fontId="35" fillId="37" borderId="0" applyNumberFormat="0" applyBorder="0" applyAlignment="0" applyProtection="0">
      <alignment vertical="center"/>
    </xf>
    <xf numFmtId="0" fontId="35" fillId="38" borderId="0" applyNumberFormat="0" applyBorder="0" applyAlignment="0" applyProtection="0">
      <alignment vertical="center"/>
    </xf>
    <xf numFmtId="0" fontId="34" fillId="39" borderId="0" applyNumberFormat="0" applyBorder="0" applyAlignment="0" applyProtection="0">
      <alignment vertical="center"/>
    </xf>
    <xf numFmtId="0" fontId="34" fillId="40" borderId="0" applyNumberFormat="0" applyBorder="0" applyAlignment="0" applyProtection="0">
      <alignment vertical="center"/>
    </xf>
    <xf numFmtId="0" fontId="35" fillId="41" borderId="0" applyNumberFormat="0" applyBorder="0" applyAlignment="0" applyProtection="0">
      <alignment vertical="center"/>
    </xf>
    <xf numFmtId="0" fontId="35" fillId="42" borderId="0" applyNumberFormat="0" applyBorder="0" applyAlignment="0" applyProtection="0">
      <alignment vertical="center"/>
    </xf>
    <xf numFmtId="0" fontId="34" fillId="43" borderId="0" applyNumberFormat="0" applyBorder="0" applyAlignment="0" applyProtection="0">
      <alignment vertical="center"/>
    </xf>
  </cellStyleXfs>
  <cellXfs count="36">
    <xf numFmtId="0" fontId="0" fillId="0" borderId="0" xfId="0"/>
    <xf numFmtId="0" fontId="0" fillId="0" borderId="0" xfId="0" applyAlignment="1"/>
    <xf numFmtId="0" fontId="1" fillId="2" borderId="0" xfId="0" applyFont="1" applyFill="1" applyAlignment="1">
      <alignment horizontal="center" vertical="center" wrapText="1"/>
    </xf>
    <xf numFmtId="0" fontId="2" fillId="3" borderId="0" xfId="0" applyFont="1" applyFill="1" applyBorder="1" applyAlignment="1">
      <alignment horizontal="left" vertical="center" wrapText="1"/>
    </xf>
    <xf numFmtId="0" fontId="3" fillId="2" borderId="0" xfId="0" applyFont="1" applyFill="1" applyBorder="1" applyAlignment="1">
      <alignment horizontal="left" vertical="top" wrapText="1"/>
    </xf>
    <xf numFmtId="0" fontId="4" fillId="4"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5" fillId="5" borderId="2" xfId="0" applyFont="1" applyFill="1" applyBorder="1" applyAlignment="1">
      <alignment horizontal="center" vertical="top" wrapText="1"/>
    </xf>
    <xf numFmtId="0" fontId="6" fillId="5" borderId="2" xfId="0" applyFont="1" applyFill="1" applyBorder="1" applyAlignment="1">
      <alignment horizontal="left" vertical="top" wrapText="1"/>
    </xf>
    <xf numFmtId="0" fontId="7" fillId="5" borderId="2" xfId="0" applyFont="1" applyFill="1" applyBorder="1" applyAlignment="1">
      <alignment horizontal="left" vertical="top" wrapText="1"/>
    </xf>
    <xf numFmtId="0" fontId="6" fillId="5" borderId="2" xfId="0" applyFont="1" applyFill="1" applyBorder="1" applyAlignment="1">
      <alignment horizontal="center" vertical="top" wrapText="1"/>
    </xf>
    <xf numFmtId="0" fontId="3" fillId="5" borderId="2" xfId="0" applyFont="1" applyFill="1" applyBorder="1" applyAlignment="1">
      <alignment horizontal="center" vertical="top" wrapText="1"/>
    </xf>
    <xf numFmtId="0" fontId="8" fillId="5" borderId="2" xfId="0" applyFont="1" applyFill="1" applyBorder="1" applyAlignment="1">
      <alignment horizontal="center" vertical="top" wrapText="1"/>
    </xf>
    <xf numFmtId="0" fontId="5" fillId="0" borderId="2" xfId="0" applyFont="1" applyBorder="1" applyAlignment="1">
      <alignment horizontal="center" vertical="top" wrapText="1"/>
    </xf>
    <xf numFmtId="0" fontId="6" fillId="0" borderId="2" xfId="0" applyFont="1" applyBorder="1" applyAlignment="1">
      <alignment horizontal="left" vertical="top" wrapText="1"/>
    </xf>
    <xf numFmtId="0" fontId="7" fillId="0" borderId="2" xfId="0" applyFont="1" applyBorder="1" applyAlignment="1">
      <alignment horizontal="left" vertical="top" wrapText="1"/>
    </xf>
    <xf numFmtId="0" fontId="6" fillId="0" borderId="2" xfId="0" applyFont="1" applyBorder="1" applyAlignment="1">
      <alignment horizontal="center" vertical="top" wrapText="1"/>
    </xf>
    <xf numFmtId="0" fontId="3" fillId="0" borderId="2" xfId="0" applyFont="1" applyBorder="1" applyAlignment="1">
      <alignment horizontal="center" vertical="top" wrapText="1"/>
    </xf>
    <xf numFmtId="0" fontId="8" fillId="0" borderId="2" xfId="0" applyFont="1" applyBorder="1" applyAlignment="1">
      <alignment horizontal="center" vertical="top" wrapText="1"/>
    </xf>
    <xf numFmtId="0" fontId="9" fillId="3" borderId="0" xfId="0" applyFont="1" applyFill="1" applyBorder="1" applyAlignment="1">
      <alignment horizontal="left" vertical="center" wrapText="1"/>
    </xf>
    <xf numFmtId="0" fontId="2" fillId="0" borderId="0" xfId="0" applyFont="1" applyBorder="1" applyAlignment="1">
      <alignment horizontal="left" vertical="center" wrapText="1"/>
    </xf>
    <xf numFmtId="0" fontId="10" fillId="6" borderId="2" xfId="0" applyFont="1" applyFill="1" applyBorder="1" applyAlignment="1">
      <alignment horizontal="center" vertical="top" wrapText="1"/>
    </xf>
    <xf numFmtId="0" fontId="10" fillId="6" borderId="1" xfId="0" applyFont="1" applyFill="1" applyBorder="1" applyAlignment="1">
      <alignment horizontal="left" vertical="top" wrapText="1"/>
    </xf>
    <xf numFmtId="0" fontId="11" fillId="5" borderId="2" xfId="0" applyFont="1" applyFill="1" applyBorder="1" applyAlignment="1">
      <alignment horizontal="center" vertical="top" wrapText="1"/>
    </xf>
    <xf numFmtId="0" fontId="2" fillId="5" borderId="1" xfId="0" applyFont="1" applyFill="1" applyBorder="1" applyAlignment="1">
      <alignment horizontal="left" vertical="top" wrapText="1"/>
    </xf>
    <xf numFmtId="0" fontId="11" fillId="0" borderId="2" xfId="0" applyFont="1" applyBorder="1" applyAlignment="1">
      <alignment horizontal="center" vertical="top" wrapText="1"/>
    </xf>
    <xf numFmtId="0" fontId="2" fillId="0" borderId="1" xfId="0" applyFont="1" applyBorder="1" applyAlignment="1">
      <alignment horizontal="left" vertical="top" wrapText="1"/>
    </xf>
    <xf numFmtId="0" fontId="4" fillId="7" borderId="1" xfId="0" applyFont="1" applyFill="1" applyBorder="1" applyAlignment="1">
      <alignment horizontal="center" vertical="center" wrapText="1"/>
    </xf>
    <xf numFmtId="0" fontId="4" fillId="7" borderId="2" xfId="0" applyFont="1" applyFill="1" applyBorder="1" applyAlignment="1">
      <alignment horizontal="center" vertical="center" wrapText="1"/>
    </xf>
    <xf numFmtId="0" fontId="12" fillId="8" borderId="2" xfId="0" applyFont="1" applyFill="1" applyBorder="1" applyAlignment="1">
      <alignment horizontal="center" vertical="top" wrapText="1"/>
    </xf>
    <xf numFmtId="0" fontId="3" fillId="9" borderId="2" xfId="0" applyFont="1" applyFill="1" applyBorder="1" applyAlignment="1">
      <alignment horizontal="center" vertical="top" wrapText="1"/>
    </xf>
    <xf numFmtId="0" fontId="8" fillId="9" borderId="2" xfId="0" applyFont="1" applyFill="1" applyBorder="1" applyAlignment="1">
      <alignment horizontal="center" vertical="top" wrapText="1"/>
    </xf>
    <xf numFmtId="0" fontId="13" fillId="10" borderId="2" xfId="0" applyFont="1" applyFill="1" applyBorder="1" applyAlignment="1">
      <alignment horizontal="center" vertical="top" wrapText="1"/>
    </xf>
    <xf numFmtId="0" fontId="3" fillId="11" borderId="2" xfId="0" applyFont="1" applyFill="1" applyBorder="1" applyAlignment="1">
      <alignment horizontal="center" vertical="top" wrapText="1"/>
    </xf>
    <xf numFmtId="0" fontId="8" fillId="11" borderId="2" xfId="0" applyFont="1" applyFill="1" applyBorder="1" applyAlignment="1">
      <alignment horizontal="center" vertical="top" wrapText="1"/>
    </xf>
    <xf numFmtId="0" fontId="14" fillId="12" borderId="2" xfId="0" applyFont="1" applyFill="1" applyBorder="1" applyAlignment="1">
      <alignment horizontal="center"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B00020"/>
      <rgbColor rgb="00008000"/>
      <rgbColor rgb="00000080"/>
      <rgbColor rgb="00B26A00"/>
      <rgbColor rgb="00800080"/>
      <rgbColor rgb="00108B66"/>
      <rgbColor rgb="00BFBFBF"/>
      <rgbColor rgb="00808080"/>
      <rgbColor rgb="009999FF"/>
      <rgbColor rgb="00993366"/>
      <rgbColor rgb="00FBEFE0"/>
      <rgbColor rgb="00E3F2E9"/>
      <rgbColor rgb="00660066"/>
      <rgbColor rgb="00FF8080"/>
      <rgbColor rgb="000066CC"/>
      <rgbColor rgb="00F6FBF9"/>
      <rgbColor rgb="00000080"/>
      <rgbColor rgb="00FF00FF"/>
      <rgbColor rgb="00FFFF00"/>
      <rgbColor rgb="0000FFFF"/>
      <rgbColor rgb="00800080"/>
      <rgbColor rgb="00800000"/>
      <rgbColor rgb="001E7A46"/>
      <rgbColor rgb="000000FF"/>
      <rgbColor rgb="0000CCFF"/>
      <rgbColor rgb="00E9F5F0"/>
      <rgbColor rgb="00EFF7F3"/>
      <rgbColor rgb="00F4F8F6"/>
      <rgbColor rgb="0099CCFF"/>
      <rgbColor rgb="00FF99CC"/>
      <rgbColor rgb="00CC99FF"/>
      <rgbColor rgb="00FBE3E6"/>
      <rgbColor rgb="003366FF"/>
      <rgbColor rgb="0033CCCC"/>
      <rgbColor rgb="0099CC00"/>
      <rgbColor rgb="00FFCC00"/>
      <rgbColor rgb="00FF9900"/>
      <rgbColor rgb="00FF6600"/>
      <rgbColor rgb="00666699"/>
      <rgbColor rgb="00969696"/>
      <rgbColor rgb="000A2F5F"/>
      <rgbColor rgb="00339966"/>
      <rgbColor rgb="00003300"/>
      <rgbColor rgb="00333300"/>
      <rgbColor rgb="00993300"/>
      <rgbColor rgb="00993366"/>
      <rgbColor rgb="00163E6E"/>
      <rgbColor rgb="00222222"/>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R29"/>
  <sheetViews>
    <sheetView showGridLines="0" tabSelected="1" zoomScale="90" zoomScaleNormal="90" workbookViewId="0">
      <pane xSplit="1" ySplit="5" topLeftCell="B10" activePane="bottomRight" state="frozen"/>
      <selection/>
      <selection pane="topRight"/>
      <selection pane="bottomLeft"/>
      <selection pane="bottomRight" activeCell="J13" sqref="J13"/>
    </sheetView>
  </sheetViews>
  <sheetFormatPr defaultColWidth="8.67619047619048" defaultRowHeight="15"/>
  <cols>
    <col min="1" max="1" width="8" style="1" customWidth="1"/>
    <col min="2" max="2" width="30" style="1" customWidth="1"/>
    <col min="3" max="3" width="14" style="1" customWidth="1"/>
    <col min="4" max="4" width="16" style="1" customWidth="1"/>
    <col min="5" max="5" width="12" style="1" customWidth="1"/>
    <col min="6" max="7" width="4.5047619047619" style="1" customWidth="1"/>
    <col min="8" max="8" width="6" style="1" customWidth="1"/>
    <col min="9" max="9" width="10" style="1" customWidth="1"/>
    <col min="10" max="10" width="24" style="1" customWidth="1"/>
    <col min="11" max="11" width="30" style="1" customWidth="1"/>
    <col min="12" max="13" width="4.5047619047619" style="1" customWidth="1"/>
    <col min="14" max="14" width="6" style="1" customWidth="1"/>
    <col min="15" max="15" width="10" style="1" customWidth="1"/>
    <col min="16" max="16" width="15" style="1" customWidth="1"/>
    <col min="17" max="17" width="12" style="1" customWidth="1"/>
    <col min="18" max="18" width="10" style="1" customWidth="1"/>
  </cols>
  <sheetData>
    <row r="1" ht="25.5" customHeight="1" spans="1:18">
      <c r="A1" s="2" t="s">
        <v>0</v>
      </c>
      <c r="B1" s="2"/>
      <c r="C1" s="2"/>
      <c r="D1" s="2"/>
      <c r="E1" s="2"/>
      <c r="F1" s="2"/>
      <c r="G1" s="2"/>
      <c r="H1" s="2"/>
      <c r="I1" s="2"/>
      <c r="J1" s="2"/>
      <c r="K1" s="2"/>
      <c r="L1" s="2"/>
      <c r="M1" s="2"/>
      <c r="N1" s="2"/>
      <c r="O1" s="2"/>
      <c r="P1" s="2"/>
      <c r="Q1" s="2"/>
      <c r="R1" s="2"/>
    </row>
    <row r="2" ht="18" customHeight="1" spans="1:18">
      <c r="A2" s="3" t="s">
        <v>1</v>
      </c>
      <c r="B2" s="3"/>
      <c r="C2" s="3"/>
      <c r="D2" s="3"/>
      <c r="E2" s="3"/>
      <c r="F2" s="3"/>
      <c r="G2" s="3"/>
      <c r="H2" s="3"/>
      <c r="I2" s="3"/>
      <c r="J2" s="3"/>
      <c r="K2" s="3"/>
      <c r="L2" s="3"/>
      <c r="M2" s="3"/>
      <c r="N2" s="3"/>
      <c r="O2" s="3"/>
      <c r="P2" s="3"/>
      <c r="Q2" s="3"/>
      <c r="R2" s="3"/>
    </row>
    <row r="3" ht="6" customHeight="1"/>
    <row r="4" ht="36" customHeight="1" spans="1:18">
      <c r="A4" s="4"/>
      <c r="B4" s="4"/>
      <c r="C4" s="4"/>
      <c r="D4" s="4"/>
      <c r="E4" s="4"/>
      <c r="F4" s="5" t="s">
        <v>2</v>
      </c>
      <c r="G4" s="5"/>
      <c r="H4" s="5"/>
      <c r="I4" s="5"/>
      <c r="J4" s="4"/>
      <c r="K4" s="4"/>
      <c r="L4" s="27" t="s">
        <v>3</v>
      </c>
      <c r="M4" s="27"/>
      <c r="N4" s="27"/>
      <c r="O4" s="27"/>
      <c r="P4" s="4"/>
      <c r="Q4" s="4"/>
      <c r="R4" s="4"/>
    </row>
    <row r="5" ht="25.5" customHeight="1" spans="1:18">
      <c r="A5" s="6" t="s">
        <v>4</v>
      </c>
      <c r="B5" s="6" t="s">
        <v>5</v>
      </c>
      <c r="C5" s="6" t="s">
        <v>6</v>
      </c>
      <c r="D5" s="6" t="s">
        <v>7</v>
      </c>
      <c r="E5" s="6" t="s">
        <v>8</v>
      </c>
      <c r="F5" s="6" t="s">
        <v>9</v>
      </c>
      <c r="G5" s="6" t="s">
        <v>10</v>
      </c>
      <c r="H5" s="6" t="s">
        <v>11</v>
      </c>
      <c r="I5" s="6" t="s">
        <v>12</v>
      </c>
      <c r="J5" s="6" t="s">
        <v>13</v>
      </c>
      <c r="K5" s="6" t="s">
        <v>14</v>
      </c>
      <c r="L5" s="28" t="s">
        <v>9</v>
      </c>
      <c r="M5" s="28" t="s">
        <v>10</v>
      </c>
      <c r="N5" s="28" t="s">
        <v>11</v>
      </c>
      <c r="O5" s="28" t="s">
        <v>12</v>
      </c>
      <c r="P5" s="6" t="s">
        <v>15</v>
      </c>
      <c r="Q5" s="6" t="s">
        <v>16</v>
      </c>
      <c r="R5" s="6" t="s">
        <v>17</v>
      </c>
    </row>
    <row r="6" ht="63.75" customHeight="1" spans="1:18">
      <c r="A6" s="7" t="s">
        <v>18</v>
      </c>
      <c r="B6" s="8" t="s">
        <v>19</v>
      </c>
      <c r="C6" s="8" t="s">
        <v>20</v>
      </c>
      <c r="D6" s="9" t="s">
        <v>21</v>
      </c>
      <c r="E6" s="10" t="s">
        <v>22</v>
      </c>
      <c r="F6" s="11">
        <v>4</v>
      </c>
      <c r="G6" s="11">
        <v>5</v>
      </c>
      <c r="H6" s="12">
        <f t="shared" ref="H6:H15" si="0">F6*G6</f>
        <v>20</v>
      </c>
      <c r="I6" s="29" t="str">
        <f t="shared" ref="I6:I15" si="1">IF(H6&gt;=15,"High",IF(H6&gt;=8,"Medium","Low"))</f>
        <v>High</v>
      </c>
      <c r="J6" s="8" t="s">
        <v>23</v>
      </c>
      <c r="K6" s="8" t="s">
        <v>24</v>
      </c>
      <c r="L6" s="30">
        <v>1</v>
      </c>
      <c r="M6" s="30">
        <v>5</v>
      </c>
      <c r="N6" s="31">
        <f t="shared" ref="N6:N15" si="2">L6*M6</f>
        <v>5</v>
      </c>
      <c r="O6" s="32" t="str">
        <f t="shared" ref="O6:O15" si="3">IF(N6&gt;=15,"High",IF(N6&gt;=8,"Medium","Low"))</f>
        <v>Low</v>
      </c>
      <c r="P6" s="8" t="s">
        <v>25</v>
      </c>
      <c r="Q6" s="10" t="s">
        <v>26</v>
      </c>
      <c r="R6" s="10" t="s">
        <v>27</v>
      </c>
    </row>
    <row r="7" ht="63.75" customHeight="1" spans="1:18">
      <c r="A7" s="13" t="s">
        <v>28</v>
      </c>
      <c r="B7" s="14" t="s">
        <v>29</v>
      </c>
      <c r="C7" s="14" t="s">
        <v>30</v>
      </c>
      <c r="D7" s="15" t="s">
        <v>31</v>
      </c>
      <c r="E7" s="16" t="s">
        <v>22</v>
      </c>
      <c r="F7" s="17">
        <v>4</v>
      </c>
      <c r="G7" s="17">
        <v>5</v>
      </c>
      <c r="H7" s="18">
        <f t="shared" si="0"/>
        <v>20</v>
      </c>
      <c r="I7" s="29" t="str">
        <f t="shared" si="1"/>
        <v>High</v>
      </c>
      <c r="J7" s="14" t="s">
        <v>32</v>
      </c>
      <c r="K7" s="14" t="s">
        <v>33</v>
      </c>
      <c r="L7" s="33">
        <v>1</v>
      </c>
      <c r="M7" s="33">
        <v>5</v>
      </c>
      <c r="N7" s="34">
        <f t="shared" si="2"/>
        <v>5</v>
      </c>
      <c r="O7" s="32" t="str">
        <f t="shared" si="3"/>
        <v>Low</v>
      </c>
      <c r="P7" s="14" t="s">
        <v>34</v>
      </c>
      <c r="Q7" s="16" t="s">
        <v>35</v>
      </c>
      <c r="R7" s="16" t="s">
        <v>36</v>
      </c>
    </row>
    <row r="8" ht="63.75" customHeight="1" spans="1:18">
      <c r="A8" s="7" t="s">
        <v>37</v>
      </c>
      <c r="B8" s="8" t="s">
        <v>38</v>
      </c>
      <c r="C8" s="8" t="s">
        <v>39</v>
      </c>
      <c r="D8" s="9" t="s">
        <v>31</v>
      </c>
      <c r="E8" s="10" t="s">
        <v>22</v>
      </c>
      <c r="F8" s="11">
        <v>5</v>
      </c>
      <c r="G8" s="11">
        <v>4</v>
      </c>
      <c r="H8" s="12">
        <f t="shared" si="0"/>
        <v>20</v>
      </c>
      <c r="I8" s="29" t="str">
        <f t="shared" si="1"/>
        <v>High</v>
      </c>
      <c r="J8" s="8" t="s">
        <v>40</v>
      </c>
      <c r="K8" s="8" t="s">
        <v>41</v>
      </c>
      <c r="L8" s="30">
        <v>1</v>
      </c>
      <c r="M8" s="30">
        <v>4</v>
      </c>
      <c r="N8" s="31">
        <f t="shared" si="2"/>
        <v>4</v>
      </c>
      <c r="O8" s="32" t="str">
        <f t="shared" si="3"/>
        <v>Low</v>
      </c>
      <c r="P8" s="8" t="s">
        <v>34</v>
      </c>
      <c r="Q8" s="10" t="s">
        <v>35</v>
      </c>
      <c r="R8" s="10" t="s">
        <v>42</v>
      </c>
    </row>
    <row r="9" ht="63.75" customHeight="1" spans="1:18">
      <c r="A9" s="13" t="s">
        <v>43</v>
      </c>
      <c r="B9" s="14" t="s">
        <v>44</v>
      </c>
      <c r="C9" s="14" t="s">
        <v>20</v>
      </c>
      <c r="D9" s="15" t="s">
        <v>45</v>
      </c>
      <c r="E9" s="16" t="s">
        <v>22</v>
      </c>
      <c r="F9" s="17">
        <v>3</v>
      </c>
      <c r="G9" s="17">
        <v>4</v>
      </c>
      <c r="H9" s="18">
        <f t="shared" si="0"/>
        <v>12</v>
      </c>
      <c r="I9" s="35" t="str">
        <f t="shared" si="1"/>
        <v>Medium</v>
      </c>
      <c r="J9" s="14" t="s">
        <v>46</v>
      </c>
      <c r="K9" s="14" t="s">
        <v>47</v>
      </c>
      <c r="L9" s="33">
        <v>1</v>
      </c>
      <c r="M9" s="33">
        <v>4</v>
      </c>
      <c r="N9" s="34">
        <f t="shared" si="2"/>
        <v>4</v>
      </c>
      <c r="O9" s="32" t="str">
        <f t="shared" si="3"/>
        <v>Low</v>
      </c>
      <c r="P9" s="14" t="s">
        <v>25</v>
      </c>
      <c r="Q9" s="16" t="s">
        <v>35</v>
      </c>
      <c r="R9" s="16" t="s">
        <v>36</v>
      </c>
    </row>
    <row r="10" ht="63.75" customHeight="1" spans="1:18">
      <c r="A10" s="7" t="s">
        <v>48</v>
      </c>
      <c r="B10" s="8" t="s">
        <v>49</v>
      </c>
      <c r="C10" s="8" t="s">
        <v>50</v>
      </c>
      <c r="D10" s="9" t="s">
        <v>51</v>
      </c>
      <c r="E10" s="10" t="s">
        <v>22</v>
      </c>
      <c r="F10" s="11">
        <v>3</v>
      </c>
      <c r="G10" s="11">
        <v>3</v>
      </c>
      <c r="H10" s="12">
        <f t="shared" si="0"/>
        <v>9</v>
      </c>
      <c r="I10" s="35" t="str">
        <f t="shared" si="1"/>
        <v>Medium</v>
      </c>
      <c r="J10" s="8" t="s">
        <v>52</v>
      </c>
      <c r="K10" s="8" t="s">
        <v>53</v>
      </c>
      <c r="L10" s="30">
        <v>1</v>
      </c>
      <c r="M10" s="30">
        <v>3</v>
      </c>
      <c r="N10" s="31">
        <f t="shared" si="2"/>
        <v>3</v>
      </c>
      <c r="O10" s="32" t="str">
        <f t="shared" si="3"/>
        <v>Low</v>
      </c>
      <c r="P10" s="8" t="s">
        <v>54</v>
      </c>
      <c r="Q10" s="10" t="s">
        <v>26</v>
      </c>
      <c r="R10" s="10" t="s">
        <v>42</v>
      </c>
    </row>
    <row r="11" ht="63.75" customHeight="1" spans="1:18">
      <c r="A11" s="13" t="s">
        <v>55</v>
      </c>
      <c r="B11" s="14" t="s">
        <v>56</v>
      </c>
      <c r="C11" s="14" t="s">
        <v>57</v>
      </c>
      <c r="D11" s="15" t="s">
        <v>58</v>
      </c>
      <c r="E11" s="16" t="s">
        <v>22</v>
      </c>
      <c r="F11" s="17">
        <v>3</v>
      </c>
      <c r="G11" s="17">
        <v>4</v>
      </c>
      <c r="H11" s="18">
        <f t="shared" si="0"/>
        <v>12</v>
      </c>
      <c r="I11" s="35" t="str">
        <f t="shared" si="1"/>
        <v>Medium</v>
      </c>
      <c r="J11" s="14" t="s">
        <v>59</v>
      </c>
      <c r="K11" s="14" t="s">
        <v>60</v>
      </c>
      <c r="L11" s="33">
        <v>2</v>
      </c>
      <c r="M11" s="33">
        <v>4</v>
      </c>
      <c r="N11" s="34">
        <f t="shared" si="2"/>
        <v>8</v>
      </c>
      <c r="O11" s="35" t="str">
        <f t="shared" si="3"/>
        <v>Medium</v>
      </c>
      <c r="P11" s="14" t="s">
        <v>61</v>
      </c>
      <c r="Q11" s="16" t="s">
        <v>35</v>
      </c>
      <c r="R11" s="16" t="s">
        <v>62</v>
      </c>
    </row>
    <row r="12" ht="63.75" customHeight="1" spans="1:18">
      <c r="A12" s="7" t="s">
        <v>63</v>
      </c>
      <c r="B12" s="8" t="s">
        <v>64</v>
      </c>
      <c r="C12" s="8" t="s">
        <v>65</v>
      </c>
      <c r="D12" s="9" t="s">
        <v>66</v>
      </c>
      <c r="E12" s="10" t="s">
        <v>22</v>
      </c>
      <c r="F12" s="11">
        <v>3</v>
      </c>
      <c r="G12" s="11">
        <v>4</v>
      </c>
      <c r="H12" s="12">
        <f t="shared" si="0"/>
        <v>12</v>
      </c>
      <c r="I12" s="35" t="str">
        <f>IF(H12&gt;=15,"High",IF(H12&gt;=8,"Medium","Low"))</f>
        <v>Medium</v>
      </c>
      <c r="J12" s="8" t="s">
        <v>67</v>
      </c>
      <c r="K12" s="8" t="s">
        <v>68</v>
      </c>
      <c r="L12" s="30">
        <v>2</v>
      </c>
      <c r="M12" s="30">
        <v>4</v>
      </c>
      <c r="N12" s="31">
        <f t="shared" si="2"/>
        <v>8</v>
      </c>
      <c r="O12" s="35" t="str">
        <f t="shared" si="3"/>
        <v>Medium</v>
      </c>
      <c r="P12" s="8" t="s">
        <v>69</v>
      </c>
      <c r="Q12" s="10" t="s">
        <v>35</v>
      </c>
      <c r="R12" s="10" t="s">
        <v>62</v>
      </c>
    </row>
    <row r="13" ht="63.75" customHeight="1" spans="1:18">
      <c r="A13" s="13" t="s">
        <v>70</v>
      </c>
      <c r="B13" s="14" t="s">
        <v>71</v>
      </c>
      <c r="C13" s="14" t="s">
        <v>72</v>
      </c>
      <c r="D13" s="15" t="s">
        <v>73</v>
      </c>
      <c r="E13" s="16" t="s">
        <v>22</v>
      </c>
      <c r="F13" s="17">
        <v>3</v>
      </c>
      <c r="G13" s="17">
        <v>2</v>
      </c>
      <c r="H13" s="18">
        <f t="shared" si="0"/>
        <v>6</v>
      </c>
      <c r="I13" s="32" t="str">
        <f t="shared" si="1"/>
        <v>Low</v>
      </c>
      <c r="J13" s="14" t="s">
        <v>74</v>
      </c>
      <c r="K13" s="14" t="s">
        <v>75</v>
      </c>
      <c r="L13" s="33">
        <v>1</v>
      </c>
      <c r="M13" s="33">
        <v>2</v>
      </c>
      <c r="N13" s="34">
        <f t="shared" si="2"/>
        <v>2</v>
      </c>
      <c r="O13" s="32" t="str">
        <f t="shared" si="3"/>
        <v>Low</v>
      </c>
      <c r="P13" s="14" t="s">
        <v>76</v>
      </c>
      <c r="Q13" s="16" t="s">
        <v>35</v>
      </c>
      <c r="R13" s="16" t="s">
        <v>62</v>
      </c>
    </row>
    <row r="14" ht="63.75" customHeight="1" spans="1:18">
      <c r="A14" s="7" t="s">
        <v>77</v>
      </c>
      <c r="B14" s="8" t="s">
        <v>78</v>
      </c>
      <c r="C14" s="8" t="s">
        <v>79</v>
      </c>
      <c r="D14" s="9" t="s">
        <v>80</v>
      </c>
      <c r="E14" s="10" t="s">
        <v>81</v>
      </c>
      <c r="F14" s="11">
        <v>2</v>
      </c>
      <c r="G14" s="11">
        <v>5</v>
      </c>
      <c r="H14" s="12">
        <f t="shared" si="0"/>
        <v>10</v>
      </c>
      <c r="I14" s="35" t="str">
        <f t="shared" si="1"/>
        <v>Medium</v>
      </c>
      <c r="J14" s="8" t="s">
        <v>82</v>
      </c>
      <c r="K14" s="8" t="s">
        <v>83</v>
      </c>
      <c r="L14" s="30">
        <v>1</v>
      </c>
      <c r="M14" s="30">
        <v>4</v>
      </c>
      <c r="N14" s="31">
        <f t="shared" si="2"/>
        <v>4</v>
      </c>
      <c r="O14" s="32" t="str">
        <f t="shared" si="3"/>
        <v>Low</v>
      </c>
      <c r="P14" s="8" t="s">
        <v>61</v>
      </c>
      <c r="Q14" s="10" t="s">
        <v>35</v>
      </c>
      <c r="R14" s="10" t="s">
        <v>84</v>
      </c>
    </row>
    <row r="15" ht="63.75" customHeight="1" spans="1:18">
      <c r="A15" s="13" t="s">
        <v>85</v>
      </c>
      <c r="B15" s="14" t="s">
        <v>86</v>
      </c>
      <c r="C15" s="14" t="s">
        <v>87</v>
      </c>
      <c r="D15" s="15" t="s">
        <v>88</v>
      </c>
      <c r="E15" s="16" t="s">
        <v>22</v>
      </c>
      <c r="F15" s="17">
        <v>3</v>
      </c>
      <c r="G15" s="17">
        <v>3</v>
      </c>
      <c r="H15" s="18">
        <f t="shared" si="0"/>
        <v>9</v>
      </c>
      <c r="I15" s="35" t="str">
        <f t="shared" si="1"/>
        <v>Medium</v>
      </c>
      <c r="J15" s="14" t="s">
        <v>89</v>
      </c>
      <c r="K15" s="14" t="s">
        <v>90</v>
      </c>
      <c r="L15" s="33">
        <v>2</v>
      </c>
      <c r="M15" s="33">
        <v>3</v>
      </c>
      <c r="N15" s="34">
        <f t="shared" si="2"/>
        <v>6</v>
      </c>
      <c r="O15" s="32" t="str">
        <f t="shared" si="3"/>
        <v>Low</v>
      </c>
      <c r="P15" s="14" t="s">
        <v>54</v>
      </c>
      <c r="Q15" s="16" t="s">
        <v>35</v>
      </c>
      <c r="R15" s="16" t="s">
        <v>84</v>
      </c>
    </row>
    <row r="17" ht="19.5" customHeight="1" spans="1:18">
      <c r="A17" s="19" t="s">
        <v>91</v>
      </c>
      <c r="B17" s="19"/>
      <c r="C17" s="19"/>
      <c r="D17" s="19"/>
      <c r="E17" s="19"/>
      <c r="F17" s="19"/>
      <c r="G17" s="19"/>
      <c r="H17" s="19"/>
      <c r="I17" s="19"/>
      <c r="J17" s="19"/>
      <c r="K17" s="19"/>
      <c r="L17" s="19"/>
      <c r="M17" s="19"/>
      <c r="N17" s="19"/>
      <c r="O17" s="19"/>
      <c r="P17" s="19"/>
      <c r="Q17" s="19"/>
      <c r="R17" s="19"/>
    </row>
    <row r="18" ht="25.5" customHeight="1" spans="1:18">
      <c r="A18" s="20" t="s">
        <v>92</v>
      </c>
      <c r="B18" s="20"/>
      <c r="C18" s="20"/>
      <c r="D18" s="20"/>
      <c r="E18" s="20"/>
      <c r="F18" s="20"/>
      <c r="G18" s="20"/>
      <c r="H18" s="20"/>
      <c r="I18" s="20"/>
      <c r="J18" s="20"/>
      <c r="K18" s="20"/>
      <c r="L18" s="20"/>
      <c r="M18" s="20"/>
      <c r="N18" s="20"/>
      <c r="O18" s="20"/>
      <c r="P18" s="20"/>
      <c r="Q18" s="20"/>
      <c r="R18" s="20"/>
    </row>
    <row r="19" ht="25.5" customHeight="1" spans="1:18">
      <c r="A19" s="20" t="s">
        <v>93</v>
      </c>
      <c r="B19" s="20"/>
      <c r="C19" s="20"/>
      <c r="D19" s="20"/>
      <c r="E19" s="20"/>
      <c r="F19" s="20"/>
      <c r="G19" s="20"/>
      <c r="H19" s="20"/>
      <c r="I19" s="20"/>
      <c r="J19" s="20"/>
      <c r="K19" s="20"/>
      <c r="L19" s="20"/>
      <c r="M19" s="20"/>
      <c r="N19" s="20"/>
      <c r="O19" s="20"/>
      <c r="P19" s="20"/>
      <c r="Q19" s="20"/>
      <c r="R19" s="20"/>
    </row>
    <row r="20" ht="25.5" customHeight="1" spans="1:18">
      <c r="A20" s="20" t="s">
        <v>94</v>
      </c>
      <c r="B20" s="20"/>
      <c r="C20" s="20"/>
      <c r="D20" s="20"/>
      <c r="E20" s="20"/>
      <c r="F20" s="20"/>
      <c r="G20" s="20"/>
      <c r="H20" s="20"/>
      <c r="I20" s="20"/>
      <c r="J20" s="20"/>
      <c r="K20" s="20"/>
      <c r="L20" s="20"/>
      <c r="M20" s="20"/>
      <c r="N20" s="20"/>
      <c r="O20" s="20"/>
      <c r="P20" s="20"/>
      <c r="Q20" s="20"/>
      <c r="R20" s="20"/>
    </row>
    <row r="21" ht="25.5" customHeight="1" spans="1:18">
      <c r="A21" s="20" t="s">
        <v>95</v>
      </c>
      <c r="B21" s="20"/>
      <c r="C21" s="20"/>
      <c r="D21" s="20"/>
      <c r="E21" s="20"/>
      <c r="F21" s="20"/>
      <c r="G21" s="20"/>
      <c r="H21" s="20"/>
      <c r="I21" s="20"/>
      <c r="J21" s="20"/>
      <c r="K21" s="20"/>
      <c r="L21" s="20"/>
      <c r="M21" s="20"/>
      <c r="N21" s="20"/>
      <c r="O21" s="20"/>
      <c r="P21" s="20"/>
      <c r="Q21" s="20"/>
      <c r="R21" s="20"/>
    </row>
    <row r="22" ht="25.5" customHeight="1" spans="1:18">
      <c r="A22" s="20" t="s">
        <v>96</v>
      </c>
      <c r="B22" s="20"/>
      <c r="C22" s="20"/>
      <c r="D22" s="20"/>
      <c r="E22" s="20"/>
      <c r="F22" s="20"/>
      <c r="G22" s="20"/>
      <c r="H22" s="20"/>
      <c r="I22" s="20"/>
      <c r="J22" s="20"/>
      <c r="K22" s="20"/>
      <c r="L22" s="20"/>
      <c r="M22" s="20"/>
      <c r="N22" s="20"/>
      <c r="O22" s="20"/>
      <c r="P22" s="20"/>
      <c r="Q22" s="20"/>
      <c r="R22" s="20"/>
    </row>
    <row r="24" customHeight="1" spans="1:8">
      <c r="A24" s="21" t="s">
        <v>97</v>
      </c>
      <c r="B24" s="22" t="s">
        <v>98</v>
      </c>
      <c r="C24" s="22"/>
      <c r="D24" s="22"/>
      <c r="E24" s="22" t="s">
        <v>99</v>
      </c>
      <c r="F24" s="22"/>
      <c r="G24" s="22"/>
      <c r="H24" s="22"/>
    </row>
    <row r="25" ht="24" customHeight="1" spans="1:8">
      <c r="A25" s="23" t="s">
        <v>100</v>
      </c>
      <c r="B25" s="24" t="s">
        <v>101</v>
      </c>
      <c r="C25" s="24"/>
      <c r="D25" s="24"/>
      <c r="E25" s="24" t="s">
        <v>102</v>
      </c>
      <c r="F25" s="24"/>
      <c r="G25" s="24"/>
      <c r="H25" s="24"/>
    </row>
    <row r="26" ht="24" customHeight="1" spans="1:8">
      <c r="A26" s="25" t="s">
        <v>103</v>
      </c>
      <c r="B26" s="26" t="s">
        <v>104</v>
      </c>
      <c r="C26" s="26"/>
      <c r="D26" s="26"/>
      <c r="E26" s="26" t="s">
        <v>105</v>
      </c>
      <c r="F26" s="26"/>
      <c r="G26" s="26"/>
      <c r="H26" s="26"/>
    </row>
    <row r="27" ht="24" customHeight="1" spans="1:8">
      <c r="A27" s="23" t="s">
        <v>106</v>
      </c>
      <c r="B27" s="24" t="s">
        <v>107</v>
      </c>
      <c r="C27" s="24"/>
      <c r="D27" s="24"/>
      <c r="E27" s="24" t="s">
        <v>108</v>
      </c>
      <c r="F27" s="24"/>
      <c r="G27" s="24"/>
      <c r="H27" s="24"/>
    </row>
    <row r="28" ht="24" customHeight="1" spans="1:8">
      <c r="A28" s="25" t="s">
        <v>109</v>
      </c>
      <c r="B28" s="26" t="s">
        <v>110</v>
      </c>
      <c r="C28" s="26"/>
      <c r="D28" s="26"/>
      <c r="E28" s="26" t="s">
        <v>111</v>
      </c>
      <c r="F28" s="26"/>
      <c r="G28" s="26"/>
      <c r="H28" s="26"/>
    </row>
    <row r="29" ht="24" customHeight="1" spans="1:8">
      <c r="A29" s="23" t="s">
        <v>112</v>
      </c>
      <c r="B29" s="24" t="s">
        <v>113</v>
      </c>
      <c r="C29" s="24"/>
      <c r="D29" s="24"/>
      <c r="E29" s="24" t="s">
        <v>114</v>
      </c>
      <c r="F29" s="24"/>
      <c r="G29" s="24"/>
      <c r="H29" s="24"/>
    </row>
  </sheetData>
  <mergeCells count="25">
    <mergeCell ref="A1:R1"/>
    <mergeCell ref="A2:R2"/>
    <mergeCell ref="A4:E4"/>
    <mergeCell ref="F4:I4"/>
    <mergeCell ref="J4:K4"/>
    <mergeCell ref="L4:O4"/>
    <mergeCell ref="P4:R4"/>
    <mergeCell ref="A17:R17"/>
    <mergeCell ref="A18:R18"/>
    <mergeCell ref="A19:R19"/>
    <mergeCell ref="A20:R20"/>
    <mergeCell ref="A21:R21"/>
    <mergeCell ref="A22:R22"/>
    <mergeCell ref="B24:D24"/>
    <mergeCell ref="E24:H24"/>
    <mergeCell ref="B25:D25"/>
    <mergeCell ref="E25:H25"/>
    <mergeCell ref="B26:D26"/>
    <mergeCell ref="E26:H26"/>
    <mergeCell ref="B27:D27"/>
    <mergeCell ref="E27:H27"/>
    <mergeCell ref="B28:D28"/>
    <mergeCell ref="E28:H28"/>
    <mergeCell ref="B29:D29"/>
    <mergeCell ref="E29:H29"/>
  </mergeCells>
  <printOptions horizontalCentered="1"/>
  <pageMargins left="0.75" right="0.75" top="1" bottom="1" header="0.511811023622047" footer="0.511811023622047"/>
  <pageSetup paperSize="1" fitToHeight="0" orientation="landscape"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1</vt:i4>
      </vt:variant>
    </vt:vector>
  </HeadingPairs>
  <TitlesOfParts>
    <vt:vector size="1" baseType="lpstr">
      <vt:lpstr>Risk Register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cp:revision>0</cp:revision>
  <dcterms:created xsi:type="dcterms:W3CDTF">2026-08-17T22:40:00Z</dcterms:created>
  <dcterms:modified xsi:type="dcterms:W3CDTF">2026-08-18T16:43:54Z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14E0B2CDC3CD4BB1BFD29EADC1949D5F_12</vt:lpwstr>
  </property>
  <property fmtid="{D5CDD505-2E9C-101B-9397-08002B2CF9AE}" pid="3" name="KSOProductBuildVer">
    <vt:lpwstr>2057-12.2.0.23206</vt:lpwstr>
  </property>
</Properties>
</file>